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lumrd/Documents/Shop Stuff/_Callum's CNC Mill/"/>
    </mc:Choice>
  </mc:AlternateContent>
  <xr:revisionPtr revIDLastSave="0" documentId="13_ncr:1_{89048D86-E165-124D-B6F8-A2EB3CCA0FB6}" xr6:coauthVersionLast="47" xr6:coauthVersionMax="47" xr10:uidLastSave="{00000000-0000-0000-0000-000000000000}"/>
  <bookViews>
    <workbookView xWindow="6460" yWindow="3800" windowWidth="28040" windowHeight="17440" xr2:uid="{6A2E7B9F-DE3F-AE40-A62E-F141D1EC1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E5" i="1"/>
  <c r="B11" i="1"/>
  <c r="E11" i="1"/>
  <c r="I3" i="1"/>
  <c r="I2" i="1"/>
  <c r="E10" i="1"/>
  <c r="B10" i="1" s="1"/>
  <c r="E9" i="1"/>
  <c r="B9" i="1" s="1"/>
  <c r="C2" i="1"/>
  <c r="C3" i="1"/>
  <c r="C4" i="1"/>
  <c r="C6" i="1" l="1"/>
  <c r="C7" i="1" s="1"/>
  <c r="C10" i="1" s="1"/>
  <c r="C9" i="1" l="1"/>
</calcChain>
</file>

<file path=xl/sharedStrings.xml><?xml version="1.0" encoding="utf-8"?>
<sst xmlns="http://schemas.openxmlformats.org/spreadsheetml/2006/main" count="28" uniqueCount="22">
  <si>
    <t>Large rocks</t>
  </si>
  <si>
    <t>Proportion</t>
  </si>
  <si>
    <t>Mass</t>
  </si>
  <si>
    <t>g</t>
  </si>
  <si>
    <t>cc</t>
  </si>
  <si>
    <t>% base</t>
  </si>
  <si>
    <t>% column</t>
  </si>
  <si>
    <t>Base (cc)</t>
  </si>
  <si>
    <t>Column (cc)</t>
  </si>
  <si>
    <t>Mass added (kg)</t>
  </si>
  <si>
    <t>Pea stone</t>
  </si>
  <si>
    <t>Sand</t>
  </si>
  <si>
    <t>Epoxy</t>
  </si>
  <si>
    <t>A:</t>
  </si>
  <si>
    <t>B:</t>
  </si>
  <si>
    <t>Total:</t>
  </si>
  <si>
    <t>Ratio</t>
  </si>
  <si>
    <t>Spindle spacer (cc)</t>
  </si>
  <si>
    <t>A (g)</t>
  </si>
  <si>
    <t>B (g)</t>
  </si>
  <si>
    <t>NET MASS:</t>
  </si>
  <si>
    <t>NET VOLUME: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</si>
</sst>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8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2" borderId="0" xfId="0" applyFill="1"/>
    <xf numFmtId="1" fontId="0" fillId="3" borderId="0" xfId="0" applyNumberFormat="1" applyFill="1"/>
    <xf numFmtId="1" fontId="0" fillId="0" borderId="0" xfId="0" applyNumberForma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3" borderId="0" xfId="0" applyNumberFormat="1" applyFill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B3D8-D62C-E340-BBD3-3A69BF5F5168}">
  <dimension ref="A1:I11"/>
  <sheetViews>
    <sheetView tabSelected="1" zoomScale="243" zoomScaleNormal="243" workbookViewId="0">
      <selection activeCell="A13" sqref="A13"/>
    </sheetView>
  </sheetViews>
  <sheetFormatPr baseColWidth="10" defaultRowHeight="16" x14ac:dyDescent="0.2"/>
  <cols>
    <col min="1" max="1" width="14" style="5" bestFit="1" customWidth="1"/>
    <col min="2" max="2" width="9" customWidth="1"/>
    <col min="3" max="3" width="6.33203125" customWidth="1"/>
    <col min="4" max="4" width="9" bestFit="1" customWidth="1"/>
    <col min="5" max="5" width="6.1640625" bestFit="1" customWidth="1"/>
    <col min="6" max="6" width="6.1640625" customWidth="1"/>
    <col min="8" max="8" width="4.1640625" bestFit="1" customWidth="1"/>
  </cols>
  <sheetData>
    <row r="1" spans="1:9" s="6" customFormat="1" x14ac:dyDescent="0.2">
      <c r="B1" s="6" t="s">
        <v>1</v>
      </c>
      <c r="C1" s="15" t="s">
        <v>2</v>
      </c>
      <c r="I1" s="11" t="s">
        <v>16</v>
      </c>
    </row>
    <row r="2" spans="1:9" x14ac:dyDescent="0.2">
      <c r="A2" s="7" t="s">
        <v>0</v>
      </c>
      <c r="B2" s="8">
        <v>0.2</v>
      </c>
      <c r="C2" s="3">
        <f t="shared" ref="C2:C3" si="0">($C$5/$B$5)*B2</f>
        <v>916.66666666666686</v>
      </c>
      <c r="D2" t="s">
        <v>3</v>
      </c>
      <c r="G2" s="10" t="s">
        <v>13</v>
      </c>
      <c r="H2">
        <v>390</v>
      </c>
      <c r="I2" s="12">
        <f>H2/H4</f>
        <v>0.52278820375335122</v>
      </c>
    </row>
    <row r="3" spans="1:9" x14ac:dyDescent="0.2">
      <c r="A3" s="7" t="s">
        <v>10</v>
      </c>
      <c r="B3" s="8">
        <v>0.4</v>
      </c>
      <c r="C3" s="3">
        <f t="shared" si="0"/>
        <v>1833.3333333333337</v>
      </c>
      <c r="D3" t="s">
        <v>3</v>
      </c>
      <c r="G3" s="10" t="s">
        <v>14</v>
      </c>
      <c r="H3">
        <v>356</v>
      </c>
      <c r="I3" s="12">
        <f>H3/H4</f>
        <v>0.47721179624664878</v>
      </c>
    </row>
    <row r="4" spans="1:9" x14ac:dyDescent="0.2">
      <c r="A4" s="7" t="s">
        <v>11</v>
      </c>
      <c r="B4" s="8">
        <v>0.28000000000000003</v>
      </c>
      <c r="C4" s="3">
        <f>($C$5/$B$5)*B4</f>
        <v>1283.3333333333337</v>
      </c>
      <c r="D4" t="s">
        <v>3</v>
      </c>
      <c r="E4" s="13" t="s">
        <v>18</v>
      </c>
      <c r="F4" s="13" t="s">
        <v>19</v>
      </c>
      <c r="G4" s="10" t="s">
        <v>15</v>
      </c>
      <c r="H4">
        <v>746</v>
      </c>
    </row>
    <row r="5" spans="1:9" x14ac:dyDescent="0.2">
      <c r="A5" s="7" t="s">
        <v>12</v>
      </c>
      <c r="B5" s="8">
        <v>0.12</v>
      </c>
      <c r="C5" s="2">
        <v>550</v>
      </c>
      <c r="D5" t="s">
        <v>3</v>
      </c>
      <c r="E5" s="14">
        <f>C5*I2</f>
        <v>287.5335120643432</v>
      </c>
      <c r="F5" s="14">
        <f>C5*I3</f>
        <v>262.4664879356568</v>
      </c>
    </row>
    <row r="6" spans="1:9" x14ac:dyDescent="0.2">
      <c r="B6" s="7" t="s">
        <v>20</v>
      </c>
      <c r="C6" s="4">
        <f>SUM(C2:C5)</f>
        <v>4583.3333333333339</v>
      </c>
      <c r="D6" t="s">
        <v>3</v>
      </c>
    </row>
    <row r="7" spans="1:9" x14ac:dyDescent="0.2">
      <c r="B7" s="7" t="s">
        <v>21</v>
      </c>
      <c r="C7" s="4">
        <f>C6/2.2</f>
        <v>2083.3333333333335</v>
      </c>
      <c r="D7" t="s">
        <v>4</v>
      </c>
    </row>
    <row r="9" spans="1:9" x14ac:dyDescent="0.2">
      <c r="A9" s="5" t="s">
        <v>9</v>
      </c>
      <c r="B9" s="9">
        <f>E9*2.2/1000</f>
        <v>18.033840000000005</v>
      </c>
      <c r="C9" s="1">
        <f>C7/E9</f>
        <v>0.25415182420013338</v>
      </c>
      <c r="D9" t="s">
        <v>5</v>
      </c>
      <c r="E9" s="4">
        <f>60*13.8*9.9</f>
        <v>8197.2000000000007</v>
      </c>
      <c r="F9" t="s">
        <v>7</v>
      </c>
    </row>
    <row r="10" spans="1:9" x14ac:dyDescent="0.2">
      <c r="A10" s="5" t="s">
        <v>9</v>
      </c>
      <c r="B10" s="9">
        <f>E10*2.2/1000</f>
        <v>23.443992000000001</v>
      </c>
      <c r="C10" s="1">
        <f>C7/E10</f>
        <v>0.19550140323087184</v>
      </c>
      <c r="D10" t="s">
        <v>6</v>
      </c>
      <c r="E10" s="4">
        <f>78*13.8*9.9</f>
        <v>10656.36</v>
      </c>
      <c r="F10" t="s">
        <v>8</v>
      </c>
    </row>
    <row r="11" spans="1:9" x14ac:dyDescent="0.2">
      <c r="A11" s="5" t="s">
        <v>9</v>
      </c>
      <c r="B11" s="9">
        <f>E11*2.2/1000</f>
        <v>4.3120000000000003</v>
      </c>
      <c r="C11" s="1"/>
      <c r="E11">
        <f>14*14*10</f>
        <v>1960</v>
      </c>
      <c r="F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Callum Ross Douglass</dc:creator>
  <cp:lastModifiedBy>Callum Ross Douglass</cp:lastModifiedBy>
  <dcterms:created xsi:type="dcterms:W3CDTF">2024-05-29T20:57:06Z</dcterms:created>
  <dcterms:modified xsi:type="dcterms:W3CDTF">2024-07-06T21:57:13Z</dcterms:modified>
</cp:coreProperties>
</file>